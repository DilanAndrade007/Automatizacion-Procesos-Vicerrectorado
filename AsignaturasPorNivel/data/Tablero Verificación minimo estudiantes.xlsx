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lvia.munoz\Desktop\"/>
    </mc:Choice>
  </mc:AlternateContent>
  <xr:revisionPtr revIDLastSave="0" documentId="13_ncr:1_{052A2356-67EF-4111-B0E4-EA9FCEFF9870}" xr6:coauthVersionLast="47" xr6:coauthVersionMax="47" xr10:uidLastSave="{00000000-0000-0000-0000-000000000000}"/>
  <bookViews>
    <workbookView xWindow="195" yWindow="750" windowWidth="24675" windowHeight="14205" xr2:uid="{00000000-000D-0000-FFFF-FFFF00000000}"/>
  </bookViews>
  <sheets>
    <sheet name="Verificación min estu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1" l="1"/>
  <c r="I21" i="11"/>
  <c r="I20" i="11"/>
  <c r="I19" i="11"/>
  <c r="I18" i="11"/>
</calcChain>
</file>

<file path=xl/sharedStrings.xml><?xml version="1.0" encoding="utf-8"?>
<sst xmlns="http://schemas.openxmlformats.org/spreadsheetml/2006/main" count="353" uniqueCount="239">
  <si>
    <t>Profesor</t>
  </si>
  <si>
    <t>Filtros:</t>
  </si>
  <si>
    <t>Por Profesor</t>
  </si>
  <si>
    <t>Por Tipo</t>
  </si>
  <si>
    <t>Por Periodo académico</t>
  </si>
  <si>
    <t>Nivel Académico</t>
  </si>
  <si>
    <t>Álgebra Lineal</t>
  </si>
  <si>
    <t>MATD113</t>
  </si>
  <si>
    <t xml:space="preserve">MATD123 </t>
  </si>
  <si>
    <t>Cálculo en una Variable</t>
  </si>
  <si>
    <t xml:space="preserve">FISD134 </t>
  </si>
  <si>
    <t>Mecánica Newtoniana</t>
  </si>
  <si>
    <t xml:space="preserve">MATD213 </t>
  </si>
  <si>
    <t>Ecuaciones Diferenciales Ordinarias</t>
  </si>
  <si>
    <t xml:space="preserve">MATD223 </t>
  </si>
  <si>
    <t>Probabilidad y Estadística Básicas</t>
  </si>
  <si>
    <t>IEXD100 Inglés (Nivel I al VII)</t>
  </si>
  <si>
    <t>MATD115</t>
  </si>
  <si>
    <t xml:space="preserve">MATD124 </t>
  </si>
  <si>
    <t>MATD133</t>
  </si>
  <si>
    <t xml:space="preserve">MATD141 </t>
  </si>
  <si>
    <t>MATD224</t>
  </si>
  <si>
    <t>MATD234</t>
  </si>
  <si>
    <t>MATD314</t>
  </si>
  <si>
    <t>Cálculo Diferencial</t>
  </si>
  <si>
    <t>Fundamentos de la Matemática</t>
  </si>
  <si>
    <t>Pensamiento Científico</t>
  </si>
  <si>
    <t>Cálculo Integral</t>
  </si>
  <si>
    <t xml:space="preserve">Probabilidad y Estadística </t>
  </si>
  <si>
    <t>FISD113</t>
  </si>
  <si>
    <t>MATD143</t>
  </si>
  <si>
    <t>MATD153</t>
  </si>
  <si>
    <t>Física</t>
  </si>
  <si>
    <t>Cálculo Diferencial e Integral</t>
  </si>
  <si>
    <t xml:space="preserve">Estadística y Probabilidad Básica </t>
  </si>
  <si>
    <t>Por Nivel académico</t>
  </si>
  <si>
    <t>Por Código Materia</t>
  </si>
  <si>
    <t>Por Materia</t>
  </si>
  <si>
    <t>Por Capacidad</t>
  </si>
  <si>
    <t>Por TotaIns</t>
  </si>
  <si>
    <t>Por Estado</t>
  </si>
  <si>
    <t>Por Carrera/Programa</t>
  </si>
  <si>
    <t>Por Departamento Profesor</t>
  </si>
  <si>
    <t>Capacidad</t>
  </si>
  <si>
    <t>TotIns</t>
  </si>
  <si>
    <t>Carrera/Programa</t>
  </si>
  <si>
    <t>Departamento Profesor</t>
  </si>
  <si>
    <t>Código Materia</t>
  </si>
  <si>
    <t>Materia</t>
  </si>
  <si>
    <t>CSHD211</t>
  </si>
  <si>
    <t>ANÁLISIS SOCIOECONÓMICO Y POLÍTICO DEL ECUADOR (CSHD211)</t>
  </si>
  <si>
    <t>TIPO</t>
  </si>
  <si>
    <t>ASIGNATURAS COMUNES</t>
  </si>
  <si>
    <t>INGENIERIA</t>
  </si>
  <si>
    <t>(RRA20) ASIGNATURAS SOCIALES</t>
  </si>
  <si>
    <t>DEP CIENCIAS SOCIALES</t>
  </si>
  <si>
    <t>ITINERARIOS</t>
  </si>
  <si>
    <t>CVLD902</t>
  </si>
  <si>
    <t>DISEÑO DE PUENTES (CVLD902)</t>
  </si>
  <si>
    <t>HERNANDEZ RODRIGUEZ LUIS TINERFE</t>
  </si>
  <si>
    <t>(RRA20) INGENIERÍA CIVIL</t>
  </si>
  <si>
    <t>DEP DE INGENIERÍA CIVIL Y AMBIENTAL</t>
  </si>
  <si>
    <t>FISD134L</t>
  </si>
  <si>
    <t>LABORATORIO MECANICA NEWTONIANA (FISD134L)</t>
  </si>
  <si>
    <t>LABORATORIO</t>
  </si>
  <si>
    <t>(RRA20) INGENIERÍA AMBIENTAL</t>
  </si>
  <si>
    <t>DEP DE FORMACION BASICA</t>
  </si>
  <si>
    <t>TITD101</t>
  </si>
  <si>
    <t>DISEÑO DE TRABAJO DE INTEGRACION CURRICULAR / PREPARACION EXAMEN DE CARACTER COMPLEXIVO (TITD101)</t>
  </si>
  <si>
    <t>UIC</t>
  </si>
  <si>
    <t>GOMEZ SOTO FRANKLIN VINICIO</t>
  </si>
  <si>
    <t>(RRA20) PETRÓLEOS</t>
  </si>
  <si>
    <t>DEP DE PETRÓLEOS</t>
  </si>
  <si>
    <t>CVLD244</t>
  </si>
  <si>
    <t>MECANICA PARA INGENIEROS (CVLD244)</t>
  </si>
  <si>
    <t>UNIDAD BÁSICA</t>
  </si>
  <si>
    <t>AYALA MOYA CARLOS ALEXIS</t>
  </si>
  <si>
    <t>IMAD724</t>
  </si>
  <si>
    <t>ANALISIS DE DATOS MULTIVARIANTE Y MINERIA DE DATOS (IMAD724)</t>
  </si>
  <si>
    <t>UNIDAD PROFESIONAL</t>
  </si>
  <si>
    <t>BENALCAZAR PALADINES HOLGER EFRAIN</t>
  </si>
  <si>
    <t>(RRA20) MATEMÁTICA APLICADA</t>
  </si>
  <si>
    <t>DEP MATEMATICA</t>
  </si>
  <si>
    <t>Todas las asignaturas que constan en la malla como Unidad Básica (marcadas en amarillo), a excepción de las señaladas como Asignaturas comunes, el minimo de inscritos debe ser 30</t>
  </si>
  <si>
    <t>Criterios</t>
  </si>
  <si>
    <t>Las señaladas en la malla como asignaturas de itinerarios, el minimo de inscritos debe ser 4</t>
  </si>
  <si>
    <t>Para laboratorios con número de licencias limitadas, capacidad limitada o máquinas virtuales limitadas, se podrá considerar un número menor de estudiantes, siempre y cuando existan razones que justifiquen esta necesidad específica, el minimo de inscritos debe ser 8 o de acuerdo a la capacidad.</t>
  </si>
  <si>
    <t>Todas las asignaturas que constan en la malla como Unidad de Intregración Curricular (marcadas en verde) Materias de TIC y Diseño de TIC,el minimo de inscritos debe ser 2</t>
  </si>
  <si>
    <t>Todas las asignaturas que constan en la malla como Unidad Profesional (marcadas en azul), el minimo de inscritos debe ser 8</t>
  </si>
  <si>
    <t xml:space="preserve">*Listado de Asignaturas comunes </t>
  </si>
  <si>
    <t>Paralelo</t>
  </si>
  <si>
    <t>Aula</t>
  </si>
  <si>
    <t>E3</t>
  </si>
  <si>
    <t>P3/E014</t>
  </si>
  <si>
    <t>CIVD1</t>
  </si>
  <si>
    <t>P3/E008</t>
  </si>
  <si>
    <t>GR1</t>
  </si>
  <si>
    <t>P1/E005</t>
  </si>
  <si>
    <t>AMBD1</t>
  </si>
  <si>
    <t>A</t>
  </si>
  <si>
    <t>P6/E002</t>
  </si>
  <si>
    <t>SYH</t>
  </si>
  <si>
    <t>TIC</t>
  </si>
  <si>
    <t>N/A</t>
  </si>
  <si>
    <t>D</t>
  </si>
  <si>
    <t>EYA</t>
  </si>
  <si>
    <t>ABC</t>
  </si>
  <si>
    <t>PSCD202 Prácticas de Servicio Comunitario</t>
  </si>
  <si>
    <t>PRLD105 Prácticas Laborales</t>
  </si>
  <si>
    <t>SOCD210 Clubes</t>
  </si>
  <si>
    <t xml:space="preserve">CSHD111 </t>
  </si>
  <si>
    <t>Comunicación Oral y Escrita</t>
  </si>
  <si>
    <t xml:space="preserve">CSHD211 </t>
  </si>
  <si>
    <t>Análisis Socioeconómico y Político del Ecuador</t>
  </si>
  <si>
    <t xml:space="preserve">CSHD300 </t>
  </si>
  <si>
    <t xml:space="preserve">CSHD400 </t>
  </si>
  <si>
    <t xml:space="preserve">AMBD261 </t>
  </si>
  <si>
    <t>Ecología y Ambiente</t>
  </si>
  <si>
    <t xml:space="preserve">CSHD162 </t>
  </si>
  <si>
    <t>Comunicación Oral y Escrita I</t>
  </si>
  <si>
    <t xml:space="preserve">CSHD262 </t>
  </si>
  <si>
    <t>Comunicación Oral y Escrita II</t>
  </si>
  <si>
    <t xml:space="preserve">CSHD362 </t>
  </si>
  <si>
    <t>Cultura y diversidad</t>
  </si>
  <si>
    <t xml:space="preserve">ADMD511 </t>
  </si>
  <si>
    <t>Gestión Organizacional</t>
  </si>
  <si>
    <t xml:space="preserve">ADMD611 </t>
  </si>
  <si>
    <t>Gestión de Procesos y Calidad</t>
  </si>
  <si>
    <t>ADMD711</t>
  </si>
  <si>
    <t>Ingeniería Financiera</t>
  </si>
  <si>
    <t xml:space="preserve">CSHD600 </t>
  </si>
  <si>
    <t>Ética Profesional y Social</t>
  </si>
  <si>
    <t xml:space="preserve">AMBD900 </t>
  </si>
  <si>
    <t xml:space="preserve">ADMD800 </t>
  </si>
  <si>
    <t xml:space="preserve">Formulación y Evaluación de Proyectos </t>
  </si>
  <si>
    <t xml:space="preserve">ADMD700 </t>
  </si>
  <si>
    <t xml:space="preserve">Emprendimiento </t>
  </si>
  <si>
    <t>Deportes</t>
  </si>
  <si>
    <t xml:space="preserve">DEPD120 </t>
  </si>
  <si>
    <t xml:space="preserve">DEPD110 </t>
  </si>
  <si>
    <t xml:space="preserve">ADMD163 </t>
  </si>
  <si>
    <t>Administración Financiera</t>
  </si>
  <si>
    <t xml:space="preserve">ADMD421 </t>
  </si>
  <si>
    <t xml:space="preserve">Metodología de la Investigación </t>
  </si>
  <si>
    <t xml:space="preserve">ICOD111 </t>
  </si>
  <si>
    <t>Herramientas Informáticas</t>
  </si>
  <si>
    <t xml:space="preserve">ICOD151 </t>
  </si>
  <si>
    <t>Tecnologías de la información para cálculo científico</t>
  </si>
  <si>
    <t>ICOD142</t>
  </si>
  <si>
    <t>Introducción a las TIC</t>
  </si>
  <si>
    <t xml:space="preserve">ICOD173 </t>
  </si>
  <si>
    <t>Informática I</t>
  </si>
  <si>
    <t xml:space="preserve">ICOD273 </t>
  </si>
  <si>
    <t>Informática II</t>
  </si>
  <si>
    <t>N°</t>
  </si>
  <si>
    <t xml:space="preserve">Asignaturas comunes incluye materias  sociales y humanisticas,el minimo de inscritos debe ser 40.
*Ver Listado de Asignaturas comunes al final de esta tabla </t>
  </si>
  <si>
    <t>** Excepciones</t>
  </si>
  <si>
    <t>Se debe tener en cuenta que las siguientes materias no pertenecerán a ninguna categoría (TIPO)</t>
  </si>
  <si>
    <t>REQUERIMIENTO DESARROLLO DE TABLEROS - DGIP</t>
  </si>
  <si>
    <t>05 de junio 2025</t>
  </si>
  <si>
    <t>Estado 
(Validar de acuerdo a los criterios de la columna N)</t>
  </si>
  <si>
    <t xml:space="preserve">    </t>
  </si>
  <si>
    <t>Tablero verificación de mínimo de estudiantes por paralelo</t>
  </si>
  <si>
    <t>Asignatura de Artes y Humanidades (consultar itinerario de artes y humanidades)</t>
  </si>
  <si>
    <t>Asignatura de Economía y Sociedad (consultar itinerario de economía y sociedad)</t>
  </si>
  <si>
    <t>CSHD500 Asignatura de Comunicación (consultar itinerario de actividades extracurriculares)</t>
  </si>
  <si>
    <t>Código</t>
  </si>
  <si>
    <t>MATD123</t>
  </si>
  <si>
    <t>FISD134</t>
  </si>
  <si>
    <t>MATD213</t>
  </si>
  <si>
    <t>MATD223</t>
  </si>
  <si>
    <t>MATD124</t>
  </si>
  <si>
    <t>MATD141</t>
  </si>
  <si>
    <t>Probabilidad y Estadística</t>
  </si>
  <si>
    <t>Estadística y Probabilidad Básica</t>
  </si>
  <si>
    <t>CSHD111</t>
  </si>
  <si>
    <t>CSHD300</t>
  </si>
  <si>
    <t>CSHD400</t>
  </si>
  <si>
    <t>AMBD261</t>
  </si>
  <si>
    <t>CSHD162</t>
  </si>
  <si>
    <t>CSHD262</t>
  </si>
  <si>
    <t>CSHD362</t>
  </si>
  <si>
    <t>ADMD511</t>
  </si>
  <si>
    <t>ADMD611</t>
  </si>
  <si>
    <t>ADMD163</t>
  </si>
  <si>
    <t>ADMD421</t>
  </si>
  <si>
    <t>Metodología de la Investigación</t>
  </si>
  <si>
    <t>ICOD111</t>
  </si>
  <si>
    <t>ICOD151</t>
  </si>
  <si>
    <t>ICOD173</t>
  </si>
  <si>
    <t>ICOD273</t>
  </si>
  <si>
    <t>DEPD110</t>
  </si>
  <si>
    <t>DEPD120</t>
  </si>
  <si>
    <t>CSHD500</t>
  </si>
  <si>
    <t>Asignatura de Comunicación (consultar itinerario de actividades extracurriculares)</t>
  </si>
  <si>
    <t>ADMD700</t>
  </si>
  <si>
    <t>Emprendimiento</t>
  </si>
  <si>
    <t>ADMD800</t>
  </si>
  <si>
    <t>Formulación y Evaluación de Proyectos</t>
  </si>
  <si>
    <t>AMBD900</t>
  </si>
  <si>
    <t>CSHD600</t>
  </si>
  <si>
    <t>Opciones del itinerario de Artes y Humanidades</t>
  </si>
  <si>
    <t>CSHD311</t>
  </si>
  <si>
    <t>Filosofía de la Ciencia</t>
  </si>
  <si>
    <t>Epistemología</t>
  </si>
  <si>
    <t>Psicología de la Personalidad</t>
  </si>
  <si>
    <t>Psicología Social</t>
  </si>
  <si>
    <t>Sexualidad Humana</t>
  </si>
  <si>
    <t>Apreciación Cinematográfica</t>
  </si>
  <si>
    <t>Contacto con la Música</t>
  </si>
  <si>
    <t>Clásicos de la Literatura Mundial</t>
  </si>
  <si>
    <t>Género Diversidad y Derechos Humanos</t>
  </si>
  <si>
    <t>Introducción a la producción musical</t>
  </si>
  <si>
    <t>CSHD321</t>
  </si>
  <si>
    <t>CSHD331</t>
  </si>
  <si>
    <t>CSHD341</t>
  </si>
  <si>
    <t>CSHD351</t>
  </si>
  <si>
    <t>CSHD361</t>
  </si>
  <si>
    <t>CSHD371</t>
  </si>
  <si>
    <t>CSHD381</t>
  </si>
  <si>
    <t>CSHD391</t>
  </si>
  <si>
    <t>CSHD3A1</t>
  </si>
  <si>
    <t>CSHD3B1</t>
  </si>
  <si>
    <t>Opciones del itinerario de Economía y Sociedad</t>
  </si>
  <si>
    <t>CSHD411</t>
  </si>
  <si>
    <t>CSHD421</t>
  </si>
  <si>
    <t>CSHD431</t>
  </si>
  <si>
    <t>CSHD441</t>
  </si>
  <si>
    <t>CSHD451</t>
  </si>
  <si>
    <t>Realidad Industrial Global y Nacional</t>
  </si>
  <si>
    <t>El Capital y su crísis</t>
  </si>
  <si>
    <t>Análisis Socioeconómico y Político del Mundo contemporáneo</t>
  </si>
  <si>
    <t>Historia de América Colonial y Republicana</t>
  </si>
  <si>
    <t>Legislación Laboral</t>
  </si>
  <si>
    <t>CSHD510</t>
  </si>
  <si>
    <t>CSHD520</t>
  </si>
  <si>
    <t xml:space="preserve">Comunicación Profesional </t>
  </si>
  <si>
    <t>Semiótica</t>
  </si>
  <si>
    <t>Opciones del itinerario de Actividades Extracurriculares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</si>
</sst>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5B9BD5"/>
      </bottom>
      <diagonal/>
    </border>
    <border>
      <left/>
      <right style="medium">
        <color rgb="FF5B9BD5"/>
      </right>
      <top/>
      <bottom/>
      <diagonal/>
    </border>
  </borders>
  <cellStyleXfs count="5">
    <xf numFmtId="0" fontId="0" fillId="0" borderId="0"/>
    <xf numFmtId="0" fontId="5" fillId="0" borderId="0"/>
    <xf numFmtId="0" fontId="7" fillId="0" borderId="0"/>
    <xf numFmtId="0" fontId="9" fillId="0" borderId="0"/>
    <xf numFmtId="43" fontId="5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0" fillId="0" borderId="0" xfId="0" quotePrefix="1" applyAlignment="1">
      <alignment horizontal="center"/>
    </xf>
    <xf numFmtId="0" fontId="3" fillId="0" borderId="0" xfId="0" quotePrefix="1" applyFont="1" applyAlignment="1">
      <alignment vertical="center" wrapText="1"/>
    </xf>
    <xf numFmtId="0" fontId="0" fillId="0" borderId="0" xfId="0" applyFill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8" fillId="0" borderId="0" xfId="0" quotePrefix="1" applyFont="1" applyFill="1"/>
    <xf numFmtId="0" fontId="6" fillId="0" borderId="0" xfId="0" quotePrefix="1" applyFont="1"/>
    <xf numFmtId="0" fontId="0" fillId="4" borderId="0" xfId="0" applyFill="1"/>
    <xf numFmtId="0" fontId="0" fillId="0" borderId="0" xfId="0" quotePrefix="1" applyFont="1"/>
    <xf numFmtId="0" fontId="3" fillId="0" borderId="0" xfId="0" applyFont="1" applyAlignment="1">
      <alignment horizontal="center" vertical="center" wrapText="1"/>
    </xf>
    <xf numFmtId="0" fontId="3" fillId="5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10" fillId="7" borderId="0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3" fillId="0" borderId="0" xfId="4" applyNumberFormat="1" applyFont="1" applyFill="1" applyBorder="1" applyAlignment="1">
      <alignment horizontal="center" vertical="center" wrapText="1"/>
    </xf>
    <xf numFmtId="0" fontId="3" fillId="0" borderId="0" xfId="4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3" fillId="0" borderId="0" xfId="0" applyNumberFormat="1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4" fontId="3" fillId="8" borderId="2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9" borderId="4" xfId="0" applyFont="1" applyFill="1" applyBorder="1" applyAlignment="1">
      <alignment horizontal="center" vertical="center" wrapText="1"/>
    </xf>
  </cellXfs>
  <cellStyles count="5">
    <cellStyle name="Millares" xfId="4" builtinId="3"/>
    <cellStyle name="Normal" xfId="0" builtinId="0"/>
    <cellStyle name="Normal 2" xfId="2" xr:uid="{00000000-0005-0000-0000-000002000000}"/>
    <cellStyle name="Normal 3" xfId="1" xr:uid="{00000000-0005-0000-0000-000003000000}"/>
    <cellStyle name="Normal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733425</xdr:colOff>
      <xdr:row>39</xdr:row>
      <xdr:rowOff>104775</xdr:rowOff>
    </xdr:from>
    <xdr:to>
      <xdr:col>19</xdr:col>
      <xdr:colOff>408802</xdr:colOff>
      <xdr:row>51</xdr:row>
      <xdr:rowOff>75918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825" y="11801475"/>
          <a:ext cx="6180952" cy="22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19</xdr:col>
      <xdr:colOff>427854</xdr:colOff>
      <xdr:row>60</xdr:row>
      <xdr:rowOff>95048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30508575"/>
          <a:ext cx="6171429" cy="16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76200</xdr:rowOff>
    </xdr:from>
    <xdr:to>
      <xdr:col>19</xdr:col>
      <xdr:colOff>446901</xdr:colOff>
      <xdr:row>64</xdr:row>
      <xdr:rowOff>142748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4125" y="32623125"/>
          <a:ext cx="6190476" cy="10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tabSelected="1" topLeftCell="A73" zoomScaleNormal="100" workbookViewId="0">
      <selection activeCell="A76" sqref="A76:XFD79"/>
    </sheetView>
  </sheetViews>
  <sheetFormatPr baseColWidth="10" defaultRowHeight="15" x14ac:dyDescent="0.25"/>
  <cols>
    <col min="1" max="1" width="7.85546875" style="6" customWidth="1"/>
    <col min="2" max="2" width="13.28515625" customWidth="1"/>
    <col min="3" max="3" width="14.5703125" customWidth="1"/>
    <col min="4" max="4" width="6.42578125" bestFit="1" customWidth="1"/>
    <col min="5" max="5" width="6.5703125" bestFit="1" customWidth="1"/>
    <col min="9" max="9" width="14.5703125" customWidth="1"/>
    <col min="10" max="11" width="13.42578125" customWidth="1"/>
    <col min="14" max="14" width="29" customWidth="1"/>
    <col min="15" max="15" width="10.42578125" hidden="1" customWidth="1"/>
  </cols>
  <sheetData>
    <row r="1" spans="1:18" ht="18.75" x14ac:dyDescent="0.25">
      <c r="A1" s="31" t="s">
        <v>158</v>
      </c>
      <c r="B1" s="3"/>
      <c r="C1" s="5"/>
      <c r="D1" s="5"/>
      <c r="E1" s="5"/>
      <c r="F1" s="3"/>
      <c r="G1" s="3"/>
      <c r="H1" s="32" t="s">
        <v>159</v>
      </c>
      <c r="I1" s="3"/>
      <c r="J1" s="3"/>
      <c r="K1" s="3"/>
      <c r="L1" s="15"/>
    </row>
    <row r="3" spans="1:18" ht="21" x14ac:dyDescent="0.35">
      <c r="A3" s="2" t="s">
        <v>162</v>
      </c>
    </row>
    <row r="4" spans="1:18" x14ac:dyDescent="0.25">
      <c r="A4" t="s">
        <v>1</v>
      </c>
      <c r="B4" t="s">
        <v>4</v>
      </c>
    </row>
    <row r="5" spans="1:18" x14ac:dyDescent="0.25">
      <c r="A5"/>
      <c r="B5" t="s">
        <v>36</v>
      </c>
    </row>
    <row r="6" spans="1:18" x14ac:dyDescent="0.25">
      <c r="A6"/>
      <c r="B6" t="s">
        <v>37</v>
      </c>
    </row>
    <row r="7" spans="1:18" x14ac:dyDescent="0.25">
      <c r="A7"/>
      <c r="B7" t="s">
        <v>38</v>
      </c>
    </row>
    <row r="8" spans="1:18" x14ac:dyDescent="0.25">
      <c r="A8"/>
      <c r="B8" t="s">
        <v>39</v>
      </c>
    </row>
    <row r="9" spans="1:18" x14ac:dyDescent="0.25">
      <c r="A9"/>
      <c r="B9" t="s">
        <v>3</v>
      </c>
    </row>
    <row r="10" spans="1:18" x14ac:dyDescent="0.25">
      <c r="A10"/>
      <c r="B10" t="s">
        <v>40</v>
      </c>
    </row>
    <row r="11" spans="1:18" x14ac:dyDescent="0.25">
      <c r="A11"/>
      <c r="B11" t="s">
        <v>2</v>
      </c>
    </row>
    <row r="12" spans="1:18" x14ac:dyDescent="0.25">
      <c r="A12"/>
      <c r="B12" t="s">
        <v>35</v>
      </c>
    </row>
    <row r="13" spans="1:18" x14ac:dyDescent="0.25">
      <c r="A13"/>
      <c r="B13" t="s">
        <v>41</v>
      </c>
    </row>
    <row r="14" spans="1:18" x14ac:dyDescent="0.25">
      <c r="A14"/>
      <c r="B14" t="s">
        <v>42</v>
      </c>
    </row>
    <row r="15" spans="1:18" x14ac:dyDescent="0.25">
      <c r="N15" s="4"/>
      <c r="O15" s="4"/>
      <c r="P15" s="4"/>
      <c r="Q15" s="4"/>
    </row>
    <row r="16" spans="1:18" ht="45" x14ac:dyDescent="0.25">
      <c r="A16" s="1" t="s">
        <v>154</v>
      </c>
      <c r="B16" s="1" t="s">
        <v>47</v>
      </c>
      <c r="C16" s="1" t="s">
        <v>48</v>
      </c>
      <c r="D16" s="1" t="s">
        <v>90</v>
      </c>
      <c r="E16" s="1" t="s">
        <v>91</v>
      </c>
      <c r="F16" s="1" t="s">
        <v>43</v>
      </c>
      <c r="G16" s="1" t="s">
        <v>44</v>
      </c>
      <c r="H16" s="1" t="s">
        <v>51</v>
      </c>
      <c r="I16" s="1" t="s">
        <v>160</v>
      </c>
      <c r="J16" s="1" t="s">
        <v>0</v>
      </c>
      <c r="K16" s="1" t="s">
        <v>5</v>
      </c>
      <c r="L16" s="1" t="s">
        <v>45</v>
      </c>
      <c r="M16" s="1" t="s">
        <v>46</v>
      </c>
      <c r="N16" s="33" t="s">
        <v>84</v>
      </c>
      <c r="O16" s="7"/>
      <c r="P16" s="10"/>
      <c r="Q16" s="10"/>
      <c r="R16" s="10"/>
    </row>
    <row r="17" spans="1:18" ht="45" x14ac:dyDescent="0.25">
      <c r="A17" s="8">
        <v>1</v>
      </c>
      <c r="B17" s="17" t="s">
        <v>49</v>
      </c>
      <c r="C17" s="17" t="s">
        <v>50</v>
      </c>
      <c r="D17" s="17" t="s">
        <v>92</v>
      </c>
      <c r="E17" s="17" t="s">
        <v>93</v>
      </c>
      <c r="F17" s="17">
        <v>52</v>
      </c>
      <c r="G17" s="8">
        <v>28</v>
      </c>
      <c r="H17" s="17" t="s">
        <v>52</v>
      </c>
      <c r="I17" s="36" t="s">
        <v>161</v>
      </c>
      <c r="J17" s="17" t="s">
        <v>59</v>
      </c>
      <c r="K17" s="17" t="s">
        <v>53</v>
      </c>
      <c r="L17" s="17" t="s">
        <v>54</v>
      </c>
      <c r="M17" s="17" t="s">
        <v>55</v>
      </c>
      <c r="N17" s="34" t="s">
        <v>155</v>
      </c>
      <c r="O17" s="8">
        <v>40</v>
      </c>
      <c r="P17" s="8"/>
      <c r="Q17" s="8"/>
      <c r="R17" s="9"/>
    </row>
    <row r="18" spans="1:18" ht="45" x14ac:dyDescent="0.25">
      <c r="A18" s="21">
        <v>2</v>
      </c>
      <c r="B18" s="18" t="s">
        <v>57</v>
      </c>
      <c r="C18" s="18" t="s">
        <v>58</v>
      </c>
      <c r="D18" s="18" t="s">
        <v>94</v>
      </c>
      <c r="E18" s="18" t="s">
        <v>95</v>
      </c>
      <c r="F18" s="18">
        <v>35</v>
      </c>
      <c r="G18" s="21">
        <v>5</v>
      </c>
      <c r="H18" s="18" t="s">
        <v>56</v>
      </c>
      <c r="I18" s="37" t="str">
        <f>IF(G18&gt;=O18,"OK","No cumple el mínimo")</f>
        <v>OK</v>
      </c>
      <c r="J18" s="18" t="s">
        <v>59</v>
      </c>
      <c r="K18" s="18" t="s">
        <v>53</v>
      </c>
      <c r="L18" s="18" t="s">
        <v>60</v>
      </c>
      <c r="M18" s="18" t="s">
        <v>61</v>
      </c>
      <c r="N18" s="35" t="s">
        <v>85</v>
      </c>
      <c r="O18" s="26">
        <v>4</v>
      </c>
      <c r="P18" s="41"/>
      <c r="Q18" s="41"/>
      <c r="R18" s="41"/>
    </row>
    <row r="19" spans="1:18" ht="90" x14ac:dyDescent="0.25">
      <c r="A19" s="8">
        <v>3</v>
      </c>
      <c r="B19" s="17" t="s">
        <v>62</v>
      </c>
      <c r="C19" s="17" t="s">
        <v>63</v>
      </c>
      <c r="D19" s="17" t="s">
        <v>96</v>
      </c>
      <c r="E19" s="17" t="s">
        <v>97</v>
      </c>
      <c r="F19" s="17">
        <v>5</v>
      </c>
      <c r="G19" s="8">
        <v>5</v>
      </c>
      <c r="H19" s="17" t="s">
        <v>64</v>
      </c>
      <c r="I19" s="36" t="str">
        <f>IF(F19&gt;=8,IF(G19&gt;=O19,"OK","No cumple el minimo"),IF(G19&gt;=F19,"OK","No cumple el minimo"))</f>
        <v>OK</v>
      </c>
      <c r="J19" s="17" t="s">
        <v>80</v>
      </c>
      <c r="K19" s="17" t="s">
        <v>53</v>
      </c>
      <c r="L19" s="17" t="s">
        <v>65</v>
      </c>
      <c r="M19" s="17" t="s">
        <v>66</v>
      </c>
      <c r="N19" s="35" t="s">
        <v>86</v>
      </c>
      <c r="O19" s="25">
        <v>8</v>
      </c>
      <c r="P19" s="41"/>
      <c r="Q19" s="41"/>
      <c r="R19" s="41"/>
    </row>
    <row r="20" spans="1:18" ht="90" x14ac:dyDescent="0.25">
      <c r="A20" s="22">
        <v>4</v>
      </c>
      <c r="B20" s="16" t="s">
        <v>67</v>
      </c>
      <c r="C20" s="16" t="s">
        <v>68</v>
      </c>
      <c r="D20" s="16" t="s">
        <v>98</v>
      </c>
      <c r="E20" s="16" t="s">
        <v>95</v>
      </c>
      <c r="F20" s="16">
        <v>20</v>
      </c>
      <c r="G20" s="22">
        <v>2</v>
      </c>
      <c r="H20" s="16" t="s">
        <v>69</v>
      </c>
      <c r="I20" s="38" t="str">
        <f>IF(G20&gt;=O20,"OK","No cumple el mínimo")</f>
        <v>OK</v>
      </c>
      <c r="J20" s="16" t="s">
        <v>70</v>
      </c>
      <c r="K20" s="16" t="s">
        <v>53</v>
      </c>
      <c r="L20" s="16" t="s">
        <v>71</v>
      </c>
      <c r="M20" s="16" t="s">
        <v>72</v>
      </c>
      <c r="N20" s="35" t="s">
        <v>87</v>
      </c>
      <c r="O20" s="25">
        <v>2</v>
      </c>
      <c r="P20" s="41"/>
      <c r="Q20" s="41"/>
      <c r="R20" s="41"/>
    </row>
    <row r="21" spans="1:18" ht="56.25" x14ac:dyDescent="0.25">
      <c r="A21" s="23">
        <v>5</v>
      </c>
      <c r="B21" s="19" t="s">
        <v>73</v>
      </c>
      <c r="C21" s="19" t="s">
        <v>74</v>
      </c>
      <c r="D21" s="19" t="s">
        <v>94</v>
      </c>
      <c r="E21" s="19" t="s">
        <v>93</v>
      </c>
      <c r="F21" s="19">
        <v>52</v>
      </c>
      <c r="G21" s="23">
        <v>29</v>
      </c>
      <c r="H21" s="19" t="s">
        <v>75</v>
      </c>
      <c r="I21" s="39" t="str">
        <f>IF(G21&gt;=O21,"OK","No cumple el mínimo")</f>
        <v>No cumple el mínimo</v>
      </c>
      <c r="J21" s="19" t="s">
        <v>76</v>
      </c>
      <c r="K21" s="19" t="s">
        <v>53</v>
      </c>
      <c r="L21" s="19" t="s">
        <v>60</v>
      </c>
      <c r="M21" s="19" t="s">
        <v>61</v>
      </c>
      <c r="N21" s="35" t="s">
        <v>83</v>
      </c>
      <c r="O21" s="25">
        <v>30</v>
      </c>
      <c r="P21" s="41"/>
      <c r="Q21" s="41"/>
      <c r="R21" s="41"/>
    </row>
    <row r="22" spans="1:18" ht="45" x14ac:dyDescent="0.25">
      <c r="A22" s="24">
        <v>6</v>
      </c>
      <c r="B22" s="20" t="s">
        <v>77</v>
      </c>
      <c r="C22" s="20" t="s">
        <v>78</v>
      </c>
      <c r="D22" s="20" t="s">
        <v>99</v>
      </c>
      <c r="E22" s="20" t="s">
        <v>100</v>
      </c>
      <c r="F22" s="20">
        <v>15</v>
      </c>
      <c r="G22" s="24">
        <v>8</v>
      </c>
      <c r="H22" s="20" t="s">
        <v>79</v>
      </c>
      <c r="I22" s="40" t="str">
        <f>IF(G22&gt;=O22,"OK","No cumple el mínimo")</f>
        <v>OK</v>
      </c>
      <c r="J22" s="20" t="s">
        <v>80</v>
      </c>
      <c r="K22" s="20" t="s">
        <v>53</v>
      </c>
      <c r="L22" s="20" t="s">
        <v>81</v>
      </c>
      <c r="M22" s="20" t="s">
        <v>82</v>
      </c>
      <c r="N22" s="35" t="s">
        <v>88</v>
      </c>
      <c r="O22" s="25">
        <v>8</v>
      </c>
    </row>
    <row r="23" spans="1:18" s="6" customFormat="1" x14ac:dyDescent="0.25">
      <c r="B23" s="29"/>
      <c r="C23" s="29"/>
      <c r="D23" s="29"/>
      <c r="E23" s="29"/>
      <c r="F23" s="29"/>
      <c r="G23" s="30"/>
      <c r="H23" s="29"/>
      <c r="I23" s="29"/>
      <c r="J23" s="29"/>
      <c r="K23" s="29"/>
      <c r="L23" s="29"/>
      <c r="M23" s="29"/>
      <c r="N23" s="28"/>
      <c r="O23" s="25"/>
    </row>
    <row r="24" spans="1:18" x14ac:dyDescent="0.25">
      <c r="A24" s="11" t="s">
        <v>89</v>
      </c>
    </row>
    <row r="25" spans="1:18" x14ac:dyDescent="0.25">
      <c r="A25" s="6" t="s">
        <v>106</v>
      </c>
      <c r="B25" t="s">
        <v>7</v>
      </c>
      <c r="C25" t="s">
        <v>6</v>
      </c>
    </row>
    <row r="26" spans="1:18" x14ac:dyDescent="0.25">
      <c r="A26" s="6" t="s">
        <v>106</v>
      </c>
      <c r="B26" t="s">
        <v>8</v>
      </c>
      <c r="C26" t="s">
        <v>9</v>
      </c>
    </row>
    <row r="27" spans="1:18" x14ac:dyDescent="0.25">
      <c r="A27" s="6" t="s">
        <v>106</v>
      </c>
      <c r="B27" t="s">
        <v>10</v>
      </c>
      <c r="C27" t="s">
        <v>11</v>
      </c>
    </row>
    <row r="28" spans="1:18" x14ac:dyDescent="0.25">
      <c r="A28" s="6" t="s">
        <v>106</v>
      </c>
      <c r="B28" t="s">
        <v>12</v>
      </c>
      <c r="C28" t="s">
        <v>13</v>
      </c>
    </row>
    <row r="29" spans="1:18" x14ac:dyDescent="0.25">
      <c r="A29" s="6" t="s">
        <v>106</v>
      </c>
      <c r="B29" t="s">
        <v>14</v>
      </c>
      <c r="C29" t="s">
        <v>15</v>
      </c>
    </row>
    <row r="30" spans="1:18" x14ac:dyDescent="0.25">
      <c r="A30" s="6" t="s">
        <v>106</v>
      </c>
      <c r="B30" t="s">
        <v>17</v>
      </c>
      <c r="C30" t="s">
        <v>6</v>
      </c>
    </row>
    <row r="31" spans="1:18" x14ac:dyDescent="0.25">
      <c r="A31" s="6" t="s">
        <v>106</v>
      </c>
      <c r="B31" t="s">
        <v>18</v>
      </c>
      <c r="C31" t="s">
        <v>24</v>
      </c>
    </row>
    <row r="32" spans="1:18" x14ac:dyDescent="0.25">
      <c r="A32" s="6" t="s">
        <v>106</v>
      </c>
      <c r="B32" t="s">
        <v>19</v>
      </c>
      <c r="C32" t="s">
        <v>25</v>
      </c>
    </row>
    <row r="33" spans="1:11" x14ac:dyDescent="0.25">
      <c r="A33" s="6" t="s">
        <v>106</v>
      </c>
      <c r="B33" t="s">
        <v>20</v>
      </c>
      <c r="C33" t="s">
        <v>26</v>
      </c>
    </row>
    <row r="34" spans="1:11" x14ac:dyDescent="0.25">
      <c r="A34" s="6" t="s">
        <v>106</v>
      </c>
      <c r="B34" t="s">
        <v>21</v>
      </c>
      <c r="C34" t="s">
        <v>27</v>
      </c>
    </row>
    <row r="35" spans="1:11" x14ac:dyDescent="0.25">
      <c r="A35" s="6" t="s">
        <v>106</v>
      </c>
      <c r="B35" t="s">
        <v>22</v>
      </c>
      <c r="C35" t="s">
        <v>28</v>
      </c>
    </row>
    <row r="36" spans="1:11" x14ac:dyDescent="0.25">
      <c r="A36" s="6" t="s">
        <v>106</v>
      </c>
      <c r="B36" t="s">
        <v>23</v>
      </c>
      <c r="C36" t="s">
        <v>13</v>
      </c>
    </row>
    <row r="37" spans="1:11" x14ac:dyDescent="0.25">
      <c r="A37" s="6" t="s">
        <v>106</v>
      </c>
      <c r="B37" t="s">
        <v>29</v>
      </c>
      <c r="C37" t="s">
        <v>32</v>
      </c>
    </row>
    <row r="38" spans="1:11" x14ac:dyDescent="0.25">
      <c r="A38" s="6" t="s">
        <v>106</v>
      </c>
      <c r="B38" t="s">
        <v>30</v>
      </c>
      <c r="C38" t="s">
        <v>33</v>
      </c>
    </row>
    <row r="39" spans="1:11" x14ac:dyDescent="0.25">
      <c r="A39" s="6" t="s">
        <v>106</v>
      </c>
      <c r="B39" t="s">
        <v>31</v>
      </c>
      <c r="C39" t="s">
        <v>34</v>
      </c>
    </row>
    <row r="40" spans="1:11" x14ac:dyDescent="0.25">
      <c r="A40" s="6" t="s">
        <v>101</v>
      </c>
      <c r="B40" t="s">
        <v>110</v>
      </c>
      <c r="C40" t="s">
        <v>111</v>
      </c>
    </row>
    <row r="41" spans="1:11" x14ac:dyDescent="0.25">
      <c r="A41" s="6" t="s">
        <v>101</v>
      </c>
      <c r="B41" t="s">
        <v>112</v>
      </c>
      <c r="C41" t="s">
        <v>113</v>
      </c>
    </row>
    <row r="42" spans="1:11" x14ac:dyDescent="0.25">
      <c r="A42" s="6" t="s">
        <v>101</v>
      </c>
      <c r="B42" s="13" t="s">
        <v>114</v>
      </c>
      <c r="C42" s="13" t="s">
        <v>163</v>
      </c>
      <c r="D42" s="13"/>
      <c r="E42" s="13"/>
      <c r="F42" s="13"/>
      <c r="G42" s="13"/>
      <c r="H42" s="13"/>
      <c r="I42" s="13"/>
      <c r="J42" s="13"/>
      <c r="K42" s="13"/>
    </row>
    <row r="43" spans="1:11" x14ac:dyDescent="0.25">
      <c r="A43" s="6" t="s">
        <v>101</v>
      </c>
      <c r="B43" s="13" t="s">
        <v>115</v>
      </c>
      <c r="C43" s="13" t="s">
        <v>164</v>
      </c>
      <c r="D43" s="13"/>
      <c r="E43" s="13"/>
      <c r="F43" s="13"/>
      <c r="G43" s="13"/>
      <c r="H43" s="13"/>
      <c r="I43" s="13"/>
      <c r="J43" s="13"/>
      <c r="K43" s="13"/>
    </row>
    <row r="44" spans="1:11" x14ac:dyDescent="0.25">
      <c r="A44" s="6" t="s">
        <v>105</v>
      </c>
      <c r="B44" t="s">
        <v>116</v>
      </c>
      <c r="C44" t="s">
        <v>117</v>
      </c>
    </row>
    <row r="45" spans="1:11" x14ac:dyDescent="0.25">
      <c r="A45" s="6" t="s">
        <v>101</v>
      </c>
      <c r="B45" t="s">
        <v>118</v>
      </c>
      <c r="C45" t="s">
        <v>119</v>
      </c>
    </row>
    <row r="46" spans="1:11" x14ac:dyDescent="0.25">
      <c r="A46" s="6" t="s">
        <v>101</v>
      </c>
      <c r="B46" t="s">
        <v>120</v>
      </c>
      <c r="C46" t="s">
        <v>121</v>
      </c>
    </row>
    <row r="47" spans="1:11" x14ac:dyDescent="0.25">
      <c r="A47" s="6" t="s">
        <v>101</v>
      </c>
      <c r="B47" t="s">
        <v>122</v>
      </c>
      <c r="C47" t="s">
        <v>123</v>
      </c>
    </row>
    <row r="48" spans="1:11" x14ac:dyDescent="0.25">
      <c r="A48" s="6" t="s">
        <v>99</v>
      </c>
      <c r="B48" t="s">
        <v>124</v>
      </c>
      <c r="C48" t="s">
        <v>125</v>
      </c>
    </row>
    <row r="49" spans="1:11" x14ac:dyDescent="0.25">
      <c r="A49" s="6" t="s">
        <v>99</v>
      </c>
      <c r="B49" t="s">
        <v>126</v>
      </c>
      <c r="C49" t="s">
        <v>127</v>
      </c>
    </row>
    <row r="50" spans="1:11" x14ac:dyDescent="0.25">
      <c r="A50" s="6" t="s">
        <v>99</v>
      </c>
      <c r="B50" t="s">
        <v>128</v>
      </c>
      <c r="C50" t="s">
        <v>129</v>
      </c>
    </row>
    <row r="51" spans="1:11" x14ac:dyDescent="0.25">
      <c r="A51" s="6" t="s">
        <v>99</v>
      </c>
      <c r="B51" t="s">
        <v>140</v>
      </c>
      <c r="C51" t="s">
        <v>141</v>
      </c>
    </row>
    <row r="52" spans="1:11" x14ac:dyDescent="0.25">
      <c r="A52" s="6" t="s">
        <v>99</v>
      </c>
      <c r="B52" t="s">
        <v>142</v>
      </c>
      <c r="C52" t="s">
        <v>143</v>
      </c>
    </row>
    <row r="53" spans="1:11" x14ac:dyDescent="0.25">
      <c r="A53" s="6" t="s">
        <v>102</v>
      </c>
      <c r="B53" t="s">
        <v>144</v>
      </c>
      <c r="C53" t="s">
        <v>145</v>
      </c>
    </row>
    <row r="54" spans="1:11" x14ac:dyDescent="0.25">
      <c r="A54" s="6" t="s">
        <v>102</v>
      </c>
      <c r="B54" t="s">
        <v>146</v>
      </c>
      <c r="C54" t="s">
        <v>147</v>
      </c>
    </row>
    <row r="55" spans="1:11" x14ac:dyDescent="0.25">
      <c r="A55" s="6" t="s">
        <v>102</v>
      </c>
      <c r="B55" t="s">
        <v>148</v>
      </c>
      <c r="C55" t="s">
        <v>149</v>
      </c>
    </row>
    <row r="56" spans="1:11" x14ac:dyDescent="0.25">
      <c r="A56" s="6" t="s">
        <v>102</v>
      </c>
      <c r="B56" s="14" t="s">
        <v>150</v>
      </c>
      <c r="C56" t="s">
        <v>151</v>
      </c>
    </row>
    <row r="57" spans="1:11" x14ac:dyDescent="0.25">
      <c r="A57" s="6" t="s">
        <v>102</v>
      </c>
      <c r="B57" s="14" t="s">
        <v>152</v>
      </c>
      <c r="C57" t="s">
        <v>153</v>
      </c>
    </row>
    <row r="58" spans="1:11" x14ac:dyDescent="0.25">
      <c r="A58" s="6" t="s">
        <v>104</v>
      </c>
      <c r="B58" s="27" t="s">
        <v>139</v>
      </c>
      <c r="C58" t="s">
        <v>137</v>
      </c>
    </row>
    <row r="59" spans="1:11" x14ac:dyDescent="0.25">
      <c r="A59" s="6" t="s">
        <v>104</v>
      </c>
      <c r="B59" s="27" t="s">
        <v>138</v>
      </c>
      <c r="C59" t="s">
        <v>137</v>
      </c>
    </row>
    <row r="60" spans="1:11" x14ac:dyDescent="0.25">
      <c r="A60" s="6" t="s">
        <v>101</v>
      </c>
      <c r="B60" s="13" t="s">
        <v>165</v>
      </c>
      <c r="C60" s="13"/>
      <c r="D60" s="13"/>
      <c r="E60" s="13"/>
      <c r="F60" s="13"/>
      <c r="G60" s="13"/>
      <c r="H60" s="13"/>
      <c r="I60" s="13"/>
      <c r="J60" s="13"/>
      <c r="K60" s="13"/>
    </row>
    <row r="61" spans="1:11" x14ac:dyDescent="0.25">
      <c r="A61" s="6" t="s">
        <v>99</v>
      </c>
      <c r="B61" t="s">
        <v>135</v>
      </c>
      <c r="C61" t="s">
        <v>136</v>
      </c>
    </row>
    <row r="62" spans="1:11" x14ac:dyDescent="0.25">
      <c r="A62" s="6" t="s">
        <v>99</v>
      </c>
      <c r="B62" t="s">
        <v>133</v>
      </c>
      <c r="C62" t="s">
        <v>134</v>
      </c>
    </row>
    <row r="63" spans="1:11" x14ac:dyDescent="0.25">
      <c r="A63" s="6" t="s">
        <v>105</v>
      </c>
      <c r="B63" t="s">
        <v>132</v>
      </c>
      <c r="C63" t="s">
        <v>117</v>
      </c>
    </row>
    <row r="64" spans="1:11" x14ac:dyDescent="0.25">
      <c r="A64" s="6" t="s">
        <v>101</v>
      </c>
      <c r="B64" t="s">
        <v>130</v>
      </c>
      <c r="C64" t="s">
        <v>131</v>
      </c>
    </row>
    <row r="67" spans="1:2" x14ac:dyDescent="0.25">
      <c r="B67" s="12"/>
    </row>
    <row r="69" spans="1:2" x14ac:dyDescent="0.25">
      <c r="A69" s="11" t="s">
        <v>156</v>
      </c>
    </row>
    <row r="70" spans="1:2" x14ac:dyDescent="0.25">
      <c r="A70" s="6" t="s">
        <v>157</v>
      </c>
    </row>
    <row r="71" spans="1:2" x14ac:dyDescent="0.25">
      <c r="A71" s="6" t="s">
        <v>103</v>
      </c>
      <c r="B71" t="s">
        <v>16</v>
      </c>
    </row>
    <row r="72" spans="1:2" x14ac:dyDescent="0.25">
      <c r="A72" s="6" t="s">
        <v>103</v>
      </c>
      <c r="B72" t="s">
        <v>107</v>
      </c>
    </row>
    <row r="73" spans="1:2" x14ac:dyDescent="0.25">
      <c r="A73" s="6" t="s">
        <v>103</v>
      </c>
      <c r="B73" t="s">
        <v>108</v>
      </c>
    </row>
    <row r="74" spans="1:2" x14ac:dyDescent="0.25">
      <c r="A74" s="6" t="s">
        <v>103</v>
      </c>
      <c r="B74" t="s">
        <v>109</v>
      </c>
    </row>
    <row r="75" spans="1:2" x14ac:dyDescent="0.25">
      <c r="B75" s="12"/>
    </row>
    <row r="76" spans="1:2" x14ac:dyDescent="0.25">
      <c r="B76" s="12"/>
    </row>
    <row r="81" spans="1:11" ht="15.75" thickBot="1" x14ac:dyDescent="0.3">
      <c r="A81" s="42" t="s">
        <v>166</v>
      </c>
      <c r="B81" s="42" t="s">
        <v>48</v>
      </c>
      <c r="D81" s="42" t="s">
        <v>166</v>
      </c>
      <c r="E81" s="42" t="s">
        <v>48</v>
      </c>
      <c r="G81" s="42" t="s">
        <v>166</v>
      </c>
      <c r="H81" s="42" t="s">
        <v>48</v>
      </c>
      <c r="J81" s="42" t="s">
        <v>166</v>
      </c>
      <c r="K81" s="42" t="s">
        <v>48</v>
      </c>
    </row>
    <row r="82" spans="1:11" x14ac:dyDescent="0.25">
      <c r="A82" s="43" t="s">
        <v>7</v>
      </c>
      <c r="B82" s="44" t="s">
        <v>6</v>
      </c>
      <c r="D82" s="43" t="s">
        <v>22</v>
      </c>
      <c r="E82" s="44" t="s">
        <v>173</v>
      </c>
      <c r="G82" s="43" t="s">
        <v>179</v>
      </c>
      <c r="H82" s="44" t="s">
        <v>119</v>
      </c>
      <c r="J82" s="43" t="s">
        <v>148</v>
      </c>
      <c r="K82" s="44" t="s">
        <v>149</v>
      </c>
    </row>
    <row r="83" spans="1:11" x14ac:dyDescent="0.25">
      <c r="A83" s="43" t="s">
        <v>167</v>
      </c>
      <c r="B83" s="45" t="s">
        <v>9</v>
      </c>
      <c r="D83" s="43" t="s">
        <v>23</v>
      </c>
      <c r="E83" s="45" t="s">
        <v>13</v>
      </c>
      <c r="G83" s="43" t="s">
        <v>180</v>
      </c>
      <c r="H83" s="45" t="s">
        <v>121</v>
      </c>
      <c r="J83" s="43" t="s">
        <v>189</v>
      </c>
      <c r="K83" s="45" t="s">
        <v>151</v>
      </c>
    </row>
    <row r="84" spans="1:11" x14ac:dyDescent="0.25">
      <c r="A84" s="43" t="s">
        <v>168</v>
      </c>
      <c r="B84" s="44" t="s">
        <v>11</v>
      </c>
      <c r="D84" s="43" t="s">
        <v>29</v>
      </c>
      <c r="E84" s="44" t="s">
        <v>32</v>
      </c>
      <c r="G84" s="43" t="s">
        <v>181</v>
      </c>
      <c r="H84" s="44" t="s">
        <v>123</v>
      </c>
      <c r="J84" s="43" t="s">
        <v>190</v>
      </c>
      <c r="K84" s="44" t="s">
        <v>153</v>
      </c>
    </row>
    <row r="85" spans="1:11" x14ac:dyDescent="0.25">
      <c r="A85" s="43" t="s">
        <v>169</v>
      </c>
      <c r="B85" s="45" t="s">
        <v>13</v>
      </c>
      <c r="D85" s="43" t="s">
        <v>30</v>
      </c>
      <c r="E85" s="45" t="s">
        <v>33</v>
      </c>
      <c r="G85" s="43" t="s">
        <v>182</v>
      </c>
      <c r="H85" s="45" t="s">
        <v>125</v>
      </c>
      <c r="J85" s="46" t="s">
        <v>191</v>
      </c>
      <c r="K85" s="45" t="s">
        <v>137</v>
      </c>
    </row>
    <row r="86" spans="1:11" x14ac:dyDescent="0.25">
      <c r="A86" s="43" t="s">
        <v>170</v>
      </c>
      <c r="B86" s="44" t="s">
        <v>15</v>
      </c>
      <c r="D86" s="43" t="s">
        <v>31</v>
      </c>
      <c r="E86" s="44" t="s">
        <v>174</v>
      </c>
      <c r="G86" s="43" t="s">
        <v>183</v>
      </c>
      <c r="H86" s="44" t="s">
        <v>127</v>
      </c>
      <c r="J86" s="46" t="s">
        <v>192</v>
      </c>
      <c r="K86" s="44" t="s">
        <v>137</v>
      </c>
    </row>
    <row r="87" spans="1:11" x14ac:dyDescent="0.25">
      <c r="A87" s="43" t="s">
        <v>17</v>
      </c>
      <c r="B87" s="45" t="s">
        <v>6</v>
      </c>
      <c r="D87" s="43" t="s">
        <v>175</v>
      </c>
      <c r="E87" s="45" t="s">
        <v>111</v>
      </c>
      <c r="G87" s="43" t="s">
        <v>128</v>
      </c>
      <c r="H87" s="45" t="s">
        <v>129</v>
      </c>
      <c r="J87" s="46" t="s">
        <v>193</v>
      </c>
      <c r="K87" s="45" t="s">
        <v>194</v>
      </c>
    </row>
    <row r="88" spans="1:11" x14ac:dyDescent="0.25">
      <c r="A88" s="43" t="s">
        <v>171</v>
      </c>
      <c r="B88" s="44" t="s">
        <v>24</v>
      </c>
      <c r="D88" s="43" t="s">
        <v>49</v>
      </c>
      <c r="E88" s="44" t="s">
        <v>113</v>
      </c>
      <c r="G88" s="43" t="s">
        <v>184</v>
      </c>
      <c r="H88" s="44" t="s">
        <v>141</v>
      </c>
      <c r="J88" s="43" t="s">
        <v>195</v>
      </c>
      <c r="K88" s="44" t="s">
        <v>196</v>
      </c>
    </row>
    <row r="89" spans="1:11" x14ac:dyDescent="0.25">
      <c r="A89" s="43" t="s">
        <v>19</v>
      </c>
      <c r="B89" s="45" t="s">
        <v>25</v>
      </c>
      <c r="D89" s="43" t="s">
        <v>176</v>
      </c>
      <c r="E89" s="45" t="s">
        <v>163</v>
      </c>
      <c r="G89" s="43" t="s">
        <v>185</v>
      </c>
      <c r="H89" s="45" t="s">
        <v>186</v>
      </c>
      <c r="J89" s="43" t="s">
        <v>197</v>
      </c>
      <c r="K89" s="45" t="s">
        <v>198</v>
      </c>
    </row>
    <row r="90" spans="1:11" x14ac:dyDescent="0.25">
      <c r="A90" s="43" t="s">
        <v>172</v>
      </c>
      <c r="B90" s="44" t="s">
        <v>26</v>
      </c>
      <c r="D90" s="43" t="s">
        <v>177</v>
      </c>
      <c r="E90" s="44" t="s">
        <v>164</v>
      </c>
      <c r="G90" s="43" t="s">
        <v>187</v>
      </c>
      <c r="H90" s="44" t="s">
        <v>145</v>
      </c>
      <c r="J90" s="43" t="s">
        <v>199</v>
      </c>
      <c r="K90" s="44" t="s">
        <v>117</v>
      </c>
    </row>
    <row r="91" spans="1:11" x14ac:dyDescent="0.25">
      <c r="A91" s="43" t="s">
        <v>21</v>
      </c>
      <c r="B91" s="45" t="s">
        <v>27</v>
      </c>
      <c r="D91" s="43" t="s">
        <v>178</v>
      </c>
      <c r="E91" s="45" t="s">
        <v>117</v>
      </c>
      <c r="G91" s="43" t="s">
        <v>188</v>
      </c>
      <c r="H91" s="45" t="s">
        <v>147</v>
      </c>
      <c r="J91" s="43" t="s">
        <v>200</v>
      </c>
      <c r="K91" s="45" t="s">
        <v>131</v>
      </c>
    </row>
    <row r="95" spans="1:11" x14ac:dyDescent="0.25">
      <c r="A95" s="6" t="s">
        <v>201</v>
      </c>
      <c r="F95" s="6" t="s">
        <v>223</v>
      </c>
      <c r="J95" s="6" t="s">
        <v>238</v>
      </c>
    </row>
    <row r="96" spans="1:11" ht="15.75" thickBot="1" x14ac:dyDescent="0.3">
      <c r="A96" s="42" t="s">
        <v>166</v>
      </c>
      <c r="B96" s="42" t="s">
        <v>48</v>
      </c>
      <c r="F96" s="42" t="s">
        <v>166</v>
      </c>
      <c r="G96" s="42" t="s">
        <v>48</v>
      </c>
      <c r="J96" s="42" t="s">
        <v>166</v>
      </c>
      <c r="K96" s="42" t="s">
        <v>48</v>
      </c>
    </row>
    <row r="97" spans="1:11" x14ac:dyDescent="0.25">
      <c r="A97" s="43" t="s">
        <v>202</v>
      </c>
      <c r="B97" s="44" t="s">
        <v>203</v>
      </c>
      <c r="F97" s="43" t="s">
        <v>224</v>
      </c>
      <c r="G97" s="44" t="s">
        <v>229</v>
      </c>
      <c r="J97" s="43" t="s">
        <v>234</v>
      </c>
      <c r="K97" s="44" t="s">
        <v>236</v>
      </c>
    </row>
    <row r="98" spans="1:11" x14ac:dyDescent="0.25">
      <c r="A98" s="43" t="s">
        <v>213</v>
      </c>
      <c r="B98" s="45" t="s">
        <v>204</v>
      </c>
      <c r="F98" s="43" t="s">
        <v>225</v>
      </c>
      <c r="G98" s="45" t="s">
        <v>230</v>
      </c>
      <c r="J98" s="43" t="s">
        <v>235</v>
      </c>
      <c r="K98" s="45" t="s">
        <v>237</v>
      </c>
    </row>
    <row r="99" spans="1:11" x14ac:dyDescent="0.25">
      <c r="A99" s="43" t="s">
        <v>214</v>
      </c>
      <c r="B99" s="44" t="s">
        <v>131</v>
      </c>
      <c r="F99" s="43" t="s">
        <v>226</v>
      </c>
      <c r="G99" s="44" t="s">
        <v>231</v>
      </c>
    </row>
    <row r="100" spans="1:11" x14ac:dyDescent="0.25">
      <c r="A100" s="43" t="s">
        <v>215</v>
      </c>
      <c r="B100" s="45" t="s">
        <v>205</v>
      </c>
      <c r="F100" s="43" t="s">
        <v>227</v>
      </c>
      <c r="G100" s="45" t="s">
        <v>232</v>
      </c>
    </row>
    <row r="101" spans="1:11" x14ac:dyDescent="0.25">
      <c r="A101" s="43" t="s">
        <v>216</v>
      </c>
      <c r="B101" s="44" t="s">
        <v>206</v>
      </c>
      <c r="F101" s="43" t="s">
        <v>228</v>
      </c>
      <c r="G101" s="44" t="s">
        <v>233</v>
      </c>
    </row>
    <row r="102" spans="1:11" x14ac:dyDescent="0.25">
      <c r="A102" s="43" t="s">
        <v>217</v>
      </c>
      <c r="B102" s="45" t="s">
        <v>207</v>
      </c>
    </row>
    <row r="103" spans="1:11" x14ac:dyDescent="0.25">
      <c r="A103" s="43" t="s">
        <v>218</v>
      </c>
      <c r="B103" s="44" t="s">
        <v>208</v>
      </c>
    </row>
    <row r="104" spans="1:11" x14ac:dyDescent="0.25">
      <c r="A104" s="43" t="s">
        <v>219</v>
      </c>
      <c r="B104" s="45" t="s">
        <v>209</v>
      </c>
    </row>
    <row r="105" spans="1:11" x14ac:dyDescent="0.25">
      <c r="A105" s="43" t="s">
        <v>220</v>
      </c>
      <c r="B105" s="44" t="s">
        <v>210</v>
      </c>
    </row>
    <row r="106" spans="1:11" x14ac:dyDescent="0.25">
      <c r="A106" s="43" t="s">
        <v>221</v>
      </c>
      <c r="B106" s="45" t="s">
        <v>211</v>
      </c>
    </row>
    <row r="107" spans="1:11" x14ac:dyDescent="0.25">
      <c r="A107" s="43" t="s">
        <v>222</v>
      </c>
      <c r="B107" s="44" t="s">
        <v>212</v>
      </c>
    </row>
  </sheetData>
  <mergeCells count="3">
    <mergeCell ref="P18:P21"/>
    <mergeCell ref="Q18:Q21"/>
    <mergeCell ref="R18:R21"/>
  </mergeCells>
  <phoneticPr fontId="17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Verificación min estu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ELIZABETH MUNOZ VILLA</dc:creator>
  <cp:lastModifiedBy>SILVIA ELIZABETH MUNOZ VILLA</cp:lastModifiedBy>
  <dcterms:created xsi:type="dcterms:W3CDTF">2024-11-26T17:46:30Z</dcterms:created>
  <dcterms:modified xsi:type="dcterms:W3CDTF">2025-07-12T01:22:16Z</dcterms:modified>
</cp:coreProperties>
</file>